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ing" sheetId="1" state="visible" r:id="rId3"/>
    <sheet name="Credits Estim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<sst xmlns="http://schemas.openxmlformats.org/spreadsheetml/2006/main" count="93" uniqueCount="83">
  <si>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 xml:space="preserve">OpenAI API pricing (US$ and R$)</t>
  </si>
  <si>
    <t xml:space="preserve">Prices from OpenAI docs and third-party summaries, Oct 2026. Verify at platform.openai.com/pricing. Blue = editable input.</t>
  </si>
  <si>
    <t xml:space="preserve">Currency conversion</t>
  </si>
  <si>
    <t xml:space="preserve">Item</t>
  </si>
  <si>
    <t xml:space="preserve">Value</t>
  </si>
  <si>
    <t xml:space="preserve">Notes</t>
  </si>
  <si>
    <t xml:space="preserve">USD to BRL exchange rate (R$ per US$)</t>
  </si>
  <si>
    <t xml:space="preserve">PTAX closing rate, Banco Central do Brasil, 29 Oct 2026. Update before you pay.</t>
  </si>
  <si>
    <t xml:space="preserve">IOF on international card purchases</t>
  </si>
  <si>
    <t xml:space="preserve">3.5% since Jul 2025 (Decreto 12.499/2025). Set to 0% if your card or bank charges no IOF.</t>
  </si>
  <si>
    <t xml:space="preserve">Effective rate (R$ per US$, incl. IOF)</t>
  </si>
  <si>
    <t xml:space="preserve">Exchange rate x (1 + IOF). Used for every R$ value in this workbook.</t>
  </si>
  <si>
    <t xml:space="preserve">Audio transcription (/v1/audio/transcriptions)</t>
  </si>
  <si>
    <t xml:space="preserve">Model</t>
  </si>
  <si>
    <t xml:space="preserve">Price per minute (US$)</t>
  </si>
  <si>
    <t xml:space="preserve">Price per minute (R$)</t>
  </si>
  <si>
    <t xml:space="preserve">whisper-1</t>
  </si>
  <si>
    <t xml:space="preserve">Flat per-minute billing</t>
  </si>
  <si>
    <t xml:space="preserve">gpt-4o-transcribe</t>
  </si>
  <si>
    <t xml:space="preserve">Approx. per minute (token-billed: audio in US$ 6.00/1M, text out US$ 10.00/1M)</t>
  </si>
  <si>
    <t xml:space="preserve">gpt-4o-mini-transcribe</t>
  </si>
  <si>
    <t xml:space="preserve">Cheapest option; approx. per minute (audio in US$ 3.00/1M)</t>
  </si>
  <si>
    <t xml:space="preserve">Completions (/v1/chat/completions)</t>
  </si>
  <si>
    <t xml:space="preserve">Input (US$ per 1M tokens)</t>
  </si>
  <si>
    <t xml:space="preserve">Output (US$ per 1M tokens)</t>
  </si>
  <si>
    <t xml:space="preserve">Input (R$ per 1M tokens)</t>
  </si>
  <si>
    <t xml:space="preserve">Output (R$ per 1M tokens)</t>
  </si>
  <si>
    <t xml:space="preserve">gpt-4.1-nano</t>
  </si>
  <si>
    <t xml:space="preserve">Cheapest capable model in the lineup</t>
  </si>
  <si>
    <t xml:space="preserve">gpt-4o-mini</t>
  </si>
  <si>
    <t xml:space="preserve">Good default for testing</t>
  </si>
  <si>
    <t xml:space="preserve">gpt-4.1-mini</t>
  </si>
  <si>
    <t xml:space="preserve">Cached input US$ 0.10/1M (ignored in estimates)</t>
  </si>
  <si>
    <t xml:space="preserve">gpt-4o</t>
  </si>
  <si>
    <t xml:space="preserve">gpt-5.4</t>
  </si>
  <si>
    <t xml:space="preserve">gpt-5.5</t>
  </si>
  <si>
    <t xml:space="preserve">Flagship</t>
  </si>
  <si>
    <t xml:space="preserve">Sources: OpenAI model docs (developers.openai.com), finout.io, g2.com, holori.com; PTAX via piranot.com.br; IOF via Exame (28 Oct 2026).</t>
  </si>
  <si>
    <t xml:space="preserve">How many credits do I need to add? (R$)</t>
  </si>
  <si>
    <t xml:space="preserve">Yellow cells with blue text are inputs. Exchange rate and IOF are set on the Pricing sheet.</t>
  </si>
  <si>
    <t xml:space="preserve">Inputs</t>
  </si>
  <si>
    <t xml:space="preserve">Transcription model</t>
  </si>
  <si>
    <t xml:space="preserve">Pick from dropdown (see Pricing sheet)</t>
  </si>
  <si>
    <t xml:space="preserve">Audio minutes per test run</t>
  </si>
  <si>
    <t xml:space="preserve">Length of the audio file you send each run</t>
  </si>
  <si>
    <t xml:space="preserve">Completion model</t>
  </si>
  <si>
    <t xml:space="preserve">Input tokens per completion call</t>
  </si>
  <si>
    <t xml:space="preserve">Prompt + transcript (about 750 words per 1,000 tokens)</t>
  </si>
  <si>
    <t xml:space="preserve">Output tokens per completion call</t>
  </si>
  <si>
    <t xml:space="preserve">Length of the reply you expect</t>
  </si>
  <si>
    <t xml:space="preserve">Completion calls per run</t>
  </si>
  <si>
    <t xml:space="preserve">How many chat calls follow each transcription</t>
  </si>
  <si>
    <t xml:space="preserve">Number of test runs</t>
  </si>
  <si>
    <t xml:space="preserve">How many times you expect to run the program</t>
  </si>
  <si>
    <t xml:space="preserve">Safety buffer</t>
  </si>
  <si>
    <t xml:space="preserve">Extra margin for retries, longer audio, debugging</t>
  </si>
  <si>
    <t xml:space="preserve">Calculation</t>
  </si>
  <si>
    <t xml:space="preserve">R$ (Brazilian real)</t>
  </si>
  <si>
    <t xml:space="preserve">US$ (reference)</t>
  </si>
  <si>
    <t xml:space="preserve">Formula logic</t>
  </si>
  <si>
    <t xml:space="preserve">Effective exchange rate (R$ per US$)</t>
  </si>
  <si>
    <t xml:space="preserve">From Pricing: PTAX rate x (1 + IOF)</t>
  </si>
  <si>
    <t xml:space="preserve">Transcription price per minute</t>
  </si>
  <si>
    <t xml:space="preserve">Looked up from Pricing</t>
  </si>
  <si>
    <t xml:space="preserve">Completion input price per 1M tokens</t>
  </si>
  <si>
    <t xml:space="preserve">Completion output price per 1M tokens</t>
  </si>
  <si>
    <t xml:space="preserve">Transcription cost per run</t>
  </si>
  <si>
    <t xml:space="preserve">Price per minute x minutes</t>
  </si>
  <si>
    <t xml:space="preserve">Completion cost per run</t>
  </si>
  <si>
    <t xml:space="preserve">(input x in price + output x out price) / 1M x calls</t>
  </si>
  <si>
    <t xml:space="preserve">Total cost per run</t>
  </si>
  <si>
    <t xml:space="preserve">Transcription + completion</t>
  </si>
  <si>
    <t xml:space="preserve">Total for all runs</t>
  </si>
  <si>
    <t xml:space="preserve">Cost per run x number of runs</t>
  </si>
  <si>
    <t xml:space="preserve">Safety buffer amount</t>
  </si>
  <si>
    <t xml:space="preserve">Total x buffer %</t>
  </si>
  <si>
    <t xml:space="preserve">CREDITS TO ADD</t>
  </si>
  <si>
    <t xml:space="preserve">Total + buffer. OpenAI may require a minimum top-up (often US$ 5); check your billing page.</t>
  </si>
  <si>
    <t xml:space="preserve">Scenarios (uses the per-run cost above)</t>
  </si>
  <si>
    <t xml:space="preserve">Number of runs</t>
  </si>
  <si>
    <t xml:space="preserve">Cost (R$)</t>
  </si>
  <si>
    <t xml:space="preserve">Cost with buffer (R$)</t>
  </si>
  <si>
    <t xml:space="preserve">Assumptions: prices and exchange rate from the Pricing sheet; no cached-input discount; token counts are your estimates, not measured.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</si>
</sst>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0.00%"/>
    <numFmt numFmtId="167" formatCode="&quot;US$ &quot;0.0000"/>
    <numFmt numFmtId="168" formatCode="&quot;R$ &quot;#,##0.0000"/>
    <numFmt numFmtId="169" formatCode="&quot;US$ &quot;#,##0.00"/>
    <numFmt numFmtId="170" formatCode="&quot;R$ &quot;#,##0.00"/>
    <numFmt numFmtId="171" formatCode="&quot;R$ &quot;#,##0"/>
    <numFmt numFmtId="172" formatCode="0.0"/>
    <numFmt numFmtId="173" formatCode="#,##0"/>
    <numFmt numFmtId="174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Completion prices (R$ per 1M tokens)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Pricing!D17</c:f>
              <c:strCache>
                <c:ptCount val="1"/>
                <c:pt idx="0">
                  <c:v>Input (R$ per 1M tokens)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Pricing!$A$18:$A$23</c:f>
              <c:strCache>
                <c:ptCount val="6"/>
                <c:pt idx="0">
                  <c:v>gpt-4.1-nano</c:v>
                </c:pt>
                <c:pt idx="1">
                  <c:v>gpt-4o-mini</c:v>
                </c:pt>
                <c:pt idx="2">
                  <c:v>gpt-4.1-mini</c:v>
                </c:pt>
                <c:pt idx="3">
                  <c:v>gpt-4o</c:v>
                </c:pt>
                <c:pt idx="4">
                  <c:v>gpt-5.4</c:v>
                </c:pt>
                <c:pt idx="5">
                  <c:v>gpt-5.5</c:v>
                </c:pt>
              </c:strCache>
            </c:strRef>
          </c:cat>
          <c:val>
            <c:numRef>
              <c:f>Pricing!$D$18:$D$23</c:f>
              <c:numCache>
                <c:formatCode>"R$ "#,##0.00</c:formatCode>
                <c:ptCount val="6"/>
                <c:pt idx="0">
                  <c:v>0.5562504</c:v>
                </c:pt>
                <c:pt idx="1">
                  <c:v>0.8343756</c:v>
                </c:pt>
                <c:pt idx="2">
                  <c:v>2.2250016</c:v>
                </c:pt>
                <c:pt idx="3">
                  <c:v>13.90626</c:v>
                </c:pt>
                <c:pt idx="4">
                  <c:v>13.90626</c:v>
                </c:pt>
                <c:pt idx="5">
                  <c:v>27.81252</c:v>
                </c:pt>
              </c:numCache>
            </c:numRef>
          </c:val>
        </c:ser>
        <c:ser>
          <c:idx val="1"/>
          <c:order val="1"/>
          <c:tx>
            <c:strRef>
              <c:f>Pricing!E17</c:f>
              <c:strCache>
                <c:ptCount val="1"/>
                <c:pt idx="0">
                  <c:v>Output (R$ per 1M tokens)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Pricing!$A$18:$A$23</c:f>
              <c:strCache>
                <c:ptCount val="6"/>
                <c:pt idx="0">
                  <c:v>gpt-4.1-nano</c:v>
                </c:pt>
                <c:pt idx="1">
                  <c:v>gpt-4o-mini</c:v>
                </c:pt>
                <c:pt idx="2">
                  <c:v>gpt-4.1-mini</c:v>
                </c:pt>
                <c:pt idx="3">
                  <c:v>gpt-4o</c:v>
                </c:pt>
                <c:pt idx="4">
                  <c:v>gpt-5.4</c:v>
                </c:pt>
                <c:pt idx="5">
                  <c:v>gpt-5.5</c:v>
                </c:pt>
              </c:strCache>
            </c:strRef>
          </c:cat>
          <c:val>
            <c:numRef>
              <c:f>Pricing!$E$18:$E$23</c:f>
              <c:numCache>
                <c:formatCode>"R$ "#,##0.00</c:formatCode>
                <c:ptCount val="6"/>
                <c:pt idx="0">
                  <c:v>2.2250016</c:v>
                </c:pt>
                <c:pt idx="1">
                  <c:v>3.3375024</c:v>
                </c:pt>
                <c:pt idx="2">
                  <c:v>8.9000064</c:v>
                </c:pt>
                <c:pt idx="3">
                  <c:v>55.62504</c:v>
                </c:pt>
                <c:pt idx="4">
                  <c:v>83.43756</c:v>
                </c:pt>
                <c:pt idx="5">
                  <c:v>166.87512</c:v>
                </c:pt>
              </c:numCache>
            </c:numRef>
          </c:val>
        </c:ser>
        <c:gapWidth val="150"/>
        <c:overlap val="0"/>
        <c:axId val="98388577"/>
        <c:axId val="91957686"/>
      </c:barChart>
      <c:catAx>
        <c:axId val="98388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57686"/>
        <c:crosses val="autoZero"/>
        <c:auto val="1"/>
        <c:lblAlgn val="ctr"/>
        <c:lblOffset val="100"/>
        <c:noMultiLvlLbl val="0"/>
      </c:catAx>
      <c:valAx>
        <c:axId val="91957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88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each run's cost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'Credits Estimator'!$A$18:$A$19</c:f>
              <c:strCache>
                <c:ptCount val="2"/>
                <c:pt idx="0">
                  <c:v>Transcription cost per run</c:v>
                </c:pt>
                <c:pt idx="1">
                  <c:v>Completion cost per run</c:v>
                </c:pt>
              </c:strCache>
            </c:strRef>
          </c:cat>
          <c:val>
            <c:numRef>
              <c:f>'Credits Estimator'!$B$18:$B$19</c:f>
              <c:numCache>
                <c:formatCode>"R$ "#,##0.0000</c:formatCode>
                <c:ptCount val="2"/>
                <c:pt idx="0">
                  <c:v>0.033375024</c:v>
                </c:pt>
                <c:pt idx="1">
                  <c:v>0.0077875056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Credits needed by number of runs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'Credits Estimator'!B26</c:f>
              <c:strCache>
                <c:ptCount val="1"/>
                <c:pt idx="0">
                  <c:v>Cost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'Credits Estimator'!$A$27:$A$32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1,000</c:v>
                </c:pt>
                <c:pt idx="5">
                  <c:v>5,000</c:v>
                </c:pt>
              </c:strCache>
            </c:strRef>
          </c:cat>
          <c:val>
            <c:numRef>
              <c:f>'Credits Estimator'!$B$27:$B$32</c:f>
              <c:numCache>
                <c:formatCode>"R$ "#,##0.00</c:formatCode>
                <c:ptCount val="6"/>
                <c:pt idx="0">
                  <c:v>0.411625296</c:v>
                </c:pt>
                <c:pt idx="1">
                  <c:v>2.05812648</c:v>
                </c:pt>
                <c:pt idx="2">
                  <c:v>4.11625296</c:v>
                </c:pt>
                <c:pt idx="3">
                  <c:v>20.5812648</c:v>
                </c:pt>
                <c:pt idx="4">
                  <c:v>41.1625296</c:v>
                </c:pt>
                <c:pt idx="5">
                  <c:v>205.812648</c:v>
                </c:pt>
              </c:numCache>
            </c:numRef>
          </c:val>
        </c:ser>
        <c:ser>
          <c:idx val="1"/>
          <c:order val="1"/>
          <c:tx>
            <c:strRef>
              <c:f>'Credits Estimator'!C26</c:f>
              <c:strCache>
                <c:ptCount val="1"/>
                <c:pt idx="0">
                  <c:v>Cost with buffer (R$)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'Credits Estimator'!$A$27:$A$32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1,000</c:v>
                </c:pt>
                <c:pt idx="5">
                  <c:v>5,000</c:v>
                </c:pt>
              </c:strCache>
            </c:strRef>
          </c:cat>
          <c:val>
            <c:numRef>
              <c:f>'Credits Estimator'!$C$27:$C$32</c:f>
              <c:numCache>
                <c:formatCode>"R$ "#,##0.00</c:formatCode>
                <c:ptCount val="6"/>
                <c:pt idx="0">
                  <c:v>0.4939503552</c:v>
                </c:pt>
                <c:pt idx="1">
                  <c:v>2.469751776</c:v>
                </c:pt>
                <c:pt idx="2">
                  <c:v>4.939503552</c:v>
                </c:pt>
                <c:pt idx="3">
                  <c:v>24.69751776</c:v>
                </c:pt>
                <c:pt idx="4">
                  <c:v>49.39503552</c:v>
                </c:pt>
                <c:pt idx="5">
                  <c:v>246.9751776</c:v>
                </c:pt>
              </c:numCache>
            </c:numRef>
          </c:val>
        </c:ser>
        <c:gapWidth val="150"/>
        <c:overlap val="0"/>
        <c:axId val="42428169"/>
        <c:axId val="647326"/>
      </c:barChart>
      <c:catAx>
        <c:axId val="42428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runs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326"/>
        <c:crosses val="autoZero"/>
        <c:auto val="1"/>
        <c:lblAlgn val="ctr"/>
        <c:lblOffset val="100"/>
        <c:noMultiLvlLbl val="0"/>
      </c:catAx>
      <c:valAx>
        <c:axId val="647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8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2</xdr:col>
      <xdr:colOff>1389600</xdr:colOff>
      <xdr:row>41</xdr:row>
      <xdr:rowOff>22320</xdr:rowOff>
    </xdr:to>
    <xdr:graphicFrame>
      <xdr:nvGraphicFramePr>
        <xdr:cNvPr id="0" name="Chart 1"/>
        <xdr:cNvGraphicFramePr/>
      </xdr:nvGraphicFramePr>
      <xdr:xfrm>
        <a:off x="0" y="5372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1</xdr:col>
      <xdr:colOff>1641240</xdr:colOff>
      <xdr:row>50</xdr:row>
      <xdr:rowOff>21960</xdr:rowOff>
    </xdr:to>
    <xdr:graphicFrame>
      <xdr:nvGraphicFramePr>
        <xdr:cNvPr id="1" name="Chart 1"/>
        <xdr:cNvGraphicFramePr/>
      </xdr:nvGraphicFramePr>
      <xdr:xfrm>
        <a:off x="0" y="7219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4068000</xdr:colOff>
      <xdr:row>50</xdr:row>
      <xdr:rowOff>21960</xdr:rowOff>
    </xdr:to>
    <xdr:graphicFrame>
      <xdr:nvGraphicFramePr>
        <xdr:cNvPr id="2" name="Chart 2"/>
        <xdr:cNvGraphicFramePr/>
      </xdr:nvGraphicFramePr>
      <xdr:xfrm>
        <a:off x="4370040" y="7219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4"/>
    <col collapsed="false" customWidth="true" hidden="false" outlineLevel="0" max="5" min="4" style="0" width="22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 t="n">
        <v>5.3744</v>
      </c>
      <c r="C6" s="8" t="s">
        <v>7</v>
      </c>
      <c r="D6" s="8"/>
      <c r="E6" s="8"/>
      <c r="F6" s="8"/>
    </row>
    <row r="7" customFormat="false" ht="15" hidden="false" customHeight="false" outlineLevel="0" collapsed="false">
      <c r="A7" s="6" t="s">
        <v>8</v>
      </c>
      <c r="B7" s="9" t="n">
        <v>0.035</v>
      </c>
      <c r="C7" s="8" t="s">
        <v>9</v>
      </c>
      <c r="D7" s="8"/>
      <c r="E7" s="8"/>
      <c r="F7" s="8"/>
    </row>
    <row r="8" customFormat="false" ht="15" hidden="false" customHeight="false" outlineLevel="0" collapsed="false">
      <c r="A8" s="10" t="s">
        <v>10</v>
      </c>
      <c r="B8" s="11" t="n">
        <f aca="false">B6*(1+B7)</f>
        <v>5.562504</v>
      </c>
      <c r="C8" s="12" t="s">
        <v>11</v>
      </c>
      <c r="D8" s="12"/>
      <c r="E8" s="12"/>
      <c r="F8" s="12"/>
    </row>
    <row r="10" customFormat="false" ht="15" hidden="false" customHeight="false" outlineLevel="0" collapsed="false">
      <c r="A10" s="4" t="s">
        <v>12</v>
      </c>
    </row>
    <row r="11" customFormat="false" ht="21.75" hidden="false" customHeight="true" outlineLevel="0" collapsed="false">
      <c r="A11" s="5" t="s">
        <v>13</v>
      </c>
      <c r="B11" s="5" t="s">
        <v>14</v>
      </c>
      <c r="C11" s="5" t="s">
        <v>15</v>
      </c>
      <c r="D11" s="5" t="s">
        <v>5</v>
      </c>
      <c r="E11" s="5"/>
      <c r="F11" s="5"/>
    </row>
    <row r="12" customFormat="false" ht="15" hidden="false" customHeight="false" outlineLevel="0" collapsed="false">
      <c r="A12" s="6" t="s">
        <v>16</v>
      </c>
      <c r="B12" s="13" t="n">
        <v>0.006</v>
      </c>
      <c r="C12" s="14" t="n">
        <f aca="false">B12*$B$8</f>
        <v>0.033375024</v>
      </c>
      <c r="D12" s="6" t="s">
        <v>17</v>
      </c>
      <c r="E12" s="6"/>
      <c r="F12" s="6"/>
    </row>
    <row r="13" customFormat="false" ht="15" hidden="false" customHeight="false" outlineLevel="0" collapsed="false">
      <c r="A13" s="6" t="s">
        <v>18</v>
      </c>
      <c r="B13" s="13" t="n">
        <v>0.006</v>
      </c>
      <c r="C13" s="14" t="n">
        <f aca="false">B13*$B$8</f>
        <v>0.033375024</v>
      </c>
      <c r="D13" s="6" t="s">
        <v>19</v>
      </c>
      <c r="E13" s="6"/>
      <c r="F13" s="6"/>
    </row>
    <row r="14" customFormat="false" ht="15" hidden="false" customHeight="false" outlineLevel="0" collapsed="false">
      <c r="A14" s="6" t="s">
        <v>20</v>
      </c>
      <c r="B14" s="13" t="n">
        <v>0.003</v>
      </c>
      <c r="C14" s="14" t="n">
        <f aca="false">B14*$B$8</f>
        <v>0.016687512</v>
      </c>
      <c r="D14" s="6" t="s">
        <v>21</v>
      </c>
      <c r="E14" s="6"/>
      <c r="F14" s="6"/>
    </row>
    <row r="16" customFormat="false" ht="15" hidden="false" customHeight="false" outlineLevel="0" collapsed="false">
      <c r="A16" s="4" t="s">
        <v>22</v>
      </c>
    </row>
    <row r="17" customFormat="false" ht="21.75" hidden="false" customHeight="true" outlineLevel="0" collapsed="false">
      <c r="A17" s="5" t="s">
        <v>13</v>
      </c>
      <c r="B17" s="5" t="s">
        <v>23</v>
      </c>
      <c r="C17" s="5" t="s">
        <v>24</v>
      </c>
      <c r="D17" s="5" t="s">
        <v>25</v>
      </c>
      <c r="E17" s="5" t="s">
        <v>26</v>
      </c>
      <c r="F17" s="5" t="s">
        <v>5</v>
      </c>
    </row>
    <row r="18" customFormat="false" ht="15" hidden="false" customHeight="false" outlineLevel="0" collapsed="false">
      <c r="A18" s="6" t="s">
        <v>27</v>
      </c>
      <c r="B18" s="15" t="n">
        <v>0.1</v>
      </c>
      <c r="C18" s="15" t="n">
        <v>0.4</v>
      </c>
      <c r="D18" s="16" t="n">
        <f aca="false">B18*$B$8</f>
        <v>0.5562504</v>
      </c>
      <c r="E18" s="16" t="n">
        <f aca="false">C18*$B$8</f>
        <v>2.2250016</v>
      </c>
      <c r="F18" s="6" t="s">
        <v>28</v>
      </c>
    </row>
    <row r="19" customFormat="false" ht="15" hidden="false" customHeight="false" outlineLevel="0" collapsed="false">
      <c r="A19" s="6" t="s">
        <v>29</v>
      </c>
      <c r="B19" s="15" t="n">
        <v>0.15</v>
      </c>
      <c r="C19" s="15" t="n">
        <v>0.6</v>
      </c>
      <c r="D19" s="16" t="n">
        <f aca="false">B19*$B$8</f>
        <v>0.8343756</v>
      </c>
      <c r="E19" s="16" t="n">
        <f aca="false">C19*$B$8</f>
        <v>3.3375024</v>
      </c>
      <c r="F19" s="6" t="s">
        <v>30</v>
      </c>
    </row>
    <row r="20" customFormat="false" ht="15" hidden="false" customHeight="false" outlineLevel="0" collapsed="false">
      <c r="A20" s="6" t="s">
        <v>31</v>
      </c>
      <c r="B20" s="15" t="n">
        <v>0.4</v>
      </c>
      <c r="C20" s="15" t="n">
        <v>1.6</v>
      </c>
      <c r="D20" s="16" t="n">
        <f aca="false">B20*$B$8</f>
        <v>2.2250016</v>
      </c>
      <c r="E20" s="16" t="n">
        <f aca="false">C20*$B$8</f>
        <v>8.9000064</v>
      </c>
      <c r="F20" s="6" t="s">
        <v>32</v>
      </c>
    </row>
    <row r="21" customFormat="false" ht="15" hidden="false" customHeight="false" outlineLevel="0" collapsed="false">
      <c r="A21" s="6" t="s">
        <v>33</v>
      </c>
      <c r="B21" s="15" t="n">
        <v>2.5</v>
      </c>
      <c r="C21" s="15" t="n">
        <v>10</v>
      </c>
      <c r="D21" s="16" t="n">
        <f aca="false">B21*$B$8</f>
        <v>13.90626</v>
      </c>
      <c r="E21" s="16" t="n">
        <f aca="false">C21*$B$8</f>
        <v>55.62504</v>
      </c>
      <c r="F21" s="6"/>
    </row>
    <row r="22" customFormat="false" ht="15" hidden="false" customHeight="false" outlineLevel="0" collapsed="false">
      <c r="A22" s="6" t="s">
        <v>34</v>
      </c>
      <c r="B22" s="15" t="n">
        <v>2.5</v>
      </c>
      <c r="C22" s="15" t="n">
        <v>15</v>
      </c>
      <c r="D22" s="16" t="n">
        <f aca="false">B22*$B$8</f>
        <v>13.90626</v>
      </c>
      <c r="E22" s="16" t="n">
        <f aca="false">C22*$B$8</f>
        <v>83.43756</v>
      </c>
      <c r="F22" s="6"/>
    </row>
    <row r="23" customFormat="false" ht="15" hidden="false" customHeight="false" outlineLevel="0" collapsed="false">
      <c r="A23" s="6" t="s">
        <v>35</v>
      </c>
      <c r="B23" s="15" t="n">
        <v>5</v>
      </c>
      <c r="C23" s="15" t="n">
        <v>30</v>
      </c>
      <c r="D23" s="16" t="n">
        <f aca="false">B23*$B$8</f>
        <v>27.81252</v>
      </c>
      <c r="E23" s="16" t="n">
        <f aca="false">C23*$B$8</f>
        <v>166.87512</v>
      </c>
      <c r="F23" s="6" t="s">
        <v>36</v>
      </c>
    </row>
    <row r="25" customFormat="false" ht="15" hidden="false" customHeight="false" outlineLevel="0" collapsed="false">
      <c r="A25" s="3" t="s">
        <v>37</v>
      </c>
    </row>
  </sheetData>
  <mergeCells count="7">
    <mergeCell ref="C6:F6"/>
    <mergeCell ref="C7:F7"/>
    <mergeCell ref="C8:F8"/>
    <mergeCell ref="D11:F11"/>
    <mergeCell ref="D12:F12"/>
    <mergeCell ref="D13:F13"/>
    <mergeCell ref="D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4"/>
    <col collapsed="false" customWidth="true" hidden="false" outlineLevel="0" max="4" min="4" style="0" width="66"/>
  </cols>
  <sheetData>
    <row r="1" customFormat="false" ht="27.75" hidden="false" customHeight="true" outlineLevel="0" collapsed="false">
      <c r="A1" s="1" t="s">
        <v>38</v>
      </c>
      <c r="B1" s="2"/>
      <c r="C1" s="2"/>
      <c r="D1" s="2"/>
    </row>
    <row r="2" customFormat="false" ht="15" hidden="false" customHeight="false" outlineLevel="0" collapsed="false">
      <c r="A2" s="3" t="s">
        <v>39</v>
      </c>
    </row>
    <row r="3" customFormat="false" ht="21.75" hidden="false" customHeight="true" outlineLevel="0" collapsed="false">
      <c r="A3" s="5" t="s">
        <v>40</v>
      </c>
      <c r="B3" s="5" t="s">
        <v>4</v>
      </c>
      <c r="C3" s="5"/>
      <c r="D3" s="5" t="s">
        <v>5</v>
      </c>
    </row>
    <row r="4" customFormat="false" ht="15" hidden="false" customHeight="false" outlineLevel="0" collapsed="false">
      <c r="A4" s="6" t="s">
        <v>41</v>
      </c>
      <c r="B4" s="17" t="s">
        <v>20</v>
      </c>
      <c r="C4" s="18"/>
      <c r="D4" s="8" t="s">
        <v>42</v>
      </c>
    </row>
    <row r="5" customFormat="false" ht="15" hidden="false" customHeight="false" outlineLevel="0" collapsed="false">
      <c r="A5" s="6" t="s">
        <v>43</v>
      </c>
      <c r="B5" s="19" t="n">
        <v>2</v>
      </c>
      <c r="C5" s="18"/>
      <c r="D5" s="8" t="s">
        <v>44</v>
      </c>
    </row>
    <row r="6" customFormat="false" ht="15" hidden="false" customHeight="false" outlineLevel="0" collapsed="false">
      <c r="A6" s="6" t="s">
        <v>45</v>
      </c>
      <c r="B6" s="17" t="s">
        <v>31</v>
      </c>
      <c r="C6" s="18"/>
      <c r="D6" s="8" t="s">
        <v>42</v>
      </c>
    </row>
    <row r="7" customFormat="false" ht="15" hidden="false" customHeight="false" outlineLevel="0" collapsed="false">
      <c r="A7" s="6" t="s">
        <v>46</v>
      </c>
      <c r="B7" s="20" t="n">
        <v>1500</v>
      </c>
      <c r="C7" s="18"/>
      <c r="D7" s="8" t="s">
        <v>47</v>
      </c>
    </row>
    <row r="8" customFormat="false" ht="15" hidden="false" customHeight="false" outlineLevel="0" collapsed="false">
      <c r="A8" s="6" t="s">
        <v>48</v>
      </c>
      <c r="B8" s="20" t="n">
        <v>500</v>
      </c>
      <c r="C8" s="18"/>
      <c r="D8" s="8" t="s">
        <v>49</v>
      </c>
    </row>
    <row r="9" customFormat="false" ht="15" hidden="false" customHeight="false" outlineLevel="0" collapsed="false">
      <c r="A9" s="6" t="s">
        <v>50</v>
      </c>
      <c r="B9" s="20" t="n">
        <v>1</v>
      </c>
      <c r="C9" s="18"/>
      <c r="D9" s="8" t="s">
        <v>51</v>
      </c>
    </row>
    <row r="10" customFormat="false" ht="15" hidden="false" customHeight="false" outlineLevel="0" collapsed="false">
      <c r="A10" s="6" t="s">
        <v>52</v>
      </c>
      <c r="B10" s="20" t="n">
        <v>100</v>
      </c>
      <c r="C10" s="18"/>
      <c r="D10" s="8" t="s">
        <v>53</v>
      </c>
    </row>
    <row r="11" customFormat="false" ht="15" hidden="false" customHeight="false" outlineLevel="0" collapsed="false">
      <c r="A11" s="6" t="s">
        <v>54</v>
      </c>
      <c r="B11" s="21" t="n">
        <v>0.2</v>
      </c>
      <c r="C11" s="18"/>
      <c r="D11" s="8" t="s">
        <v>55</v>
      </c>
    </row>
    <row r="13" customFormat="false" ht="21.75" hidden="false" customHeight="true" outlineLevel="0" collapsed="false">
      <c r="A13" s="5" t="s">
        <v>56</v>
      </c>
      <c r="B13" s="5" t="s">
        <v>57</v>
      </c>
      <c r="C13" s="5" t="s">
        <v>58</v>
      </c>
      <c r="D13" s="5" t="s">
        <v>59</v>
      </c>
    </row>
    <row r="14" customFormat="false" ht="15" hidden="false" customHeight="false" outlineLevel="0" collapsed="false">
      <c r="A14" s="6" t="s">
        <v>60</v>
      </c>
      <c r="B14" s="22" t="n">
        <f aca="false">Pricing!$B$8</f>
        <v>5.562504</v>
      </c>
      <c r="C14" s="6"/>
      <c r="D14" s="8" t="s">
        <v>61</v>
      </c>
    </row>
    <row r="15" customFormat="false" ht="15" hidden="false" customHeight="false" outlineLevel="0" collapsed="false">
      <c r="A15" s="6" t="s">
        <v>62</v>
      </c>
      <c r="B15" s="14" t="n">
        <f aca="false">C15*$B$14</f>
        <v>0.016687512</v>
      </c>
      <c r="C15" s="23" t="n">
        <f aca="false">INDEX(Pricing!$B$12:$B$14,MATCH(B4,Pricing!$A$12:$A$14,0))</f>
        <v>0.003</v>
      </c>
      <c r="D15" s="8" t="s">
        <v>63</v>
      </c>
    </row>
    <row r="16" customFormat="false" ht="15" hidden="false" customHeight="false" outlineLevel="0" collapsed="false">
      <c r="A16" s="6" t="s">
        <v>64</v>
      </c>
      <c r="B16" s="16" t="n">
        <f aca="false">C16*$B$14</f>
        <v>2.2250016</v>
      </c>
      <c r="C16" s="24" t="n">
        <f aca="false">INDEX(Pricing!$B$18:$B$23,MATCH(B6,Pricing!$A$18:$A$23,0))</f>
        <v>0.4</v>
      </c>
      <c r="D16" s="8" t="s">
        <v>63</v>
      </c>
    </row>
    <row r="17" customFormat="false" ht="15" hidden="false" customHeight="false" outlineLevel="0" collapsed="false">
      <c r="A17" s="6" t="s">
        <v>65</v>
      </c>
      <c r="B17" s="16" t="n">
        <f aca="false">C17*$B$14</f>
        <v>8.9000064</v>
      </c>
      <c r="C17" s="24" t="n">
        <f aca="false">INDEX(Pricing!$C$18:$C$23,MATCH(B6,Pricing!$A$18:$A$23,0))</f>
        <v>1.6</v>
      </c>
      <c r="D17" s="8" t="s">
        <v>63</v>
      </c>
    </row>
    <row r="18" customFormat="false" ht="15" hidden="false" customHeight="false" outlineLevel="0" collapsed="false">
      <c r="A18" s="6" t="s">
        <v>66</v>
      </c>
      <c r="B18" s="14" t="n">
        <f aca="false">C18*$B$14</f>
        <v>0.033375024</v>
      </c>
      <c r="C18" s="23" t="n">
        <f aca="false">C15*B5</f>
        <v>0.006</v>
      </c>
      <c r="D18" s="8" t="s">
        <v>67</v>
      </c>
    </row>
    <row r="19" customFormat="false" ht="15" hidden="false" customHeight="false" outlineLevel="0" collapsed="false">
      <c r="A19" s="6" t="s">
        <v>68</v>
      </c>
      <c r="B19" s="14" t="n">
        <f aca="false">C19*$B$14</f>
        <v>0.0077875056</v>
      </c>
      <c r="C19" s="23" t="n">
        <f aca="false">(B7*C16+B8*C17)/1000000*B9</f>
        <v>0.0014</v>
      </c>
      <c r="D19" s="8" t="s">
        <v>69</v>
      </c>
    </row>
    <row r="20" customFormat="false" ht="15" hidden="false" customHeight="false" outlineLevel="0" collapsed="false">
      <c r="A20" s="6" t="s">
        <v>70</v>
      </c>
      <c r="B20" s="14" t="n">
        <f aca="false">B18+B19</f>
        <v>0.0411625296</v>
      </c>
      <c r="C20" s="23" t="n">
        <f aca="false">C18+C19</f>
        <v>0.0074</v>
      </c>
      <c r="D20" s="8" t="s">
        <v>71</v>
      </c>
    </row>
    <row r="21" customFormat="false" ht="15" hidden="false" customHeight="false" outlineLevel="0" collapsed="false">
      <c r="A21" s="6" t="s">
        <v>72</v>
      </c>
      <c r="B21" s="16" t="n">
        <f aca="false">B20*B10</f>
        <v>4.11625296</v>
      </c>
      <c r="C21" s="24" t="n">
        <f aca="false">C20*B10</f>
        <v>0.74</v>
      </c>
      <c r="D21" s="8" t="s">
        <v>73</v>
      </c>
    </row>
    <row r="22" customFormat="false" ht="15" hidden="false" customHeight="false" outlineLevel="0" collapsed="false">
      <c r="A22" s="6" t="s">
        <v>74</v>
      </c>
      <c r="B22" s="16" t="n">
        <f aca="false">B21*B11</f>
        <v>0.823250592</v>
      </c>
      <c r="C22" s="24" t="n">
        <f aca="false">C21*B11</f>
        <v>0.148</v>
      </c>
      <c r="D22" s="8" t="s">
        <v>75</v>
      </c>
    </row>
    <row r="23" customFormat="false" ht="25.5" hidden="false" customHeight="true" outlineLevel="0" collapsed="false">
      <c r="A23" s="25" t="s">
        <v>76</v>
      </c>
      <c r="B23" s="26" t="n">
        <f aca="false">B21+B22</f>
        <v>4.939503552</v>
      </c>
      <c r="C23" s="27" t="n">
        <f aca="false">C21+C22</f>
        <v>0.888</v>
      </c>
      <c r="D23" s="28" t="s">
        <v>77</v>
      </c>
    </row>
    <row r="25" customFormat="false" ht="15" hidden="false" customHeight="false" outlineLevel="0" collapsed="false">
      <c r="A25" s="4" t="s">
        <v>78</v>
      </c>
    </row>
    <row r="26" customFormat="false" ht="21.75" hidden="false" customHeight="true" outlineLevel="0" collapsed="false">
      <c r="A26" s="5" t="s">
        <v>79</v>
      </c>
      <c r="B26" s="5" t="s">
        <v>80</v>
      </c>
      <c r="C26" s="5" t="s">
        <v>81</v>
      </c>
    </row>
    <row r="27" customFormat="false" ht="15" hidden="false" customHeight="false" outlineLevel="0" collapsed="false">
      <c r="A27" s="29" t="n">
        <v>10</v>
      </c>
      <c r="B27" s="16" t="n">
        <f aca="false">$B$20*A27</f>
        <v>0.411625296</v>
      </c>
      <c r="C27" s="16" t="n">
        <f aca="false">B27*(1+$B$11)</f>
        <v>0.4939503552</v>
      </c>
    </row>
    <row r="28" customFormat="false" ht="15" hidden="false" customHeight="false" outlineLevel="0" collapsed="false">
      <c r="A28" s="29" t="n">
        <v>50</v>
      </c>
      <c r="B28" s="16" t="n">
        <f aca="false">$B$20*A28</f>
        <v>2.05812648</v>
      </c>
      <c r="C28" s="16" t="n">
        <f aca="false">B28*(1+$B$11)</f>
        <v>2.469751776</v>
      </c>
    </row>
    <row r="29" customFormat="false" ht="15" hidden="false" customHeight="false" outlineLevel="0" collapsed="false">
      <c r="A29" s="29" t="n">
        <v>100</v>
      </c>
      <c r="B29" s="16" t="n">
        <f aca="false">$B$20*A29</f>
        <v>4.11625296</v>
      </c>
      <c r="C29" s="16" t="n">
        <f aca="false">B29*(1+$B$11)</f>
        <v>4.939503552</v>
      </c>
    </row>
    <row r="30" customFormat="false" ht="15" hidden="false" customHeight="false" outlineLevel="0" collapsed="false">
      <c r="A30" s="29" t="n">
        <v>500</v>
      </c>
      <c r="B30" s="16" t="n">
        <f aca="false">$B$20*A30</f>
        <v>20.5812648</v>
      </c>
      <c r="C30" s="16" t="n">
        <f aca="false">B30*(1+$B$11)</f>
        <v>24.69751776</v>
      </c>
    </row>
    <row r="31" customFormat="false" ht="15" hidden="false" customHeight="false" outlineLevel="0" collapsed="false">
      <c r="A31" s="29" t="n">
        <v>1000</v>
      </c>
      <c r="B31" s="16" t="n">
        <f aca="false">$B$20*A31</f>
        <v>41.1625296</v>
      </c>
      <c r="C31" s="16" t="n">
        <f aca="false">B31*(1+$B$11)</f>
        <v>49.39503552</v>
      </c>
    </row>
    <row r="32" customFormat="false" ht="15" hidden="false" customHeight="false" outlineLevel="0" collapsed="false">
      <c r="A32" s="29" t="n">
        <v>5000</v>
      </c>
      <c r="B32" s="16" t="n">
        <f aca="false">$B$20*A32</f>
        <v>205.812648</v>
      </c>
      <c r="C32" s="16" t="n">
        <f aca="false">B32*(1+$B$11)</f>
        <v>246.9751776</v>
      </c>
    </row>
    <row r="34" customFormat="false" ht="15" hidden="false" customHeight="false" outlineLevel="0" collapsed="false">
      <c r="A34" s="3" t="s">
        <v>82</v>
      </c>
    </row>
  </sheetData>
  <conditionalFormatting sqref="B27:B32">
    <cfRule type="dataBar" priority="2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{C1139DF4-28D5-41B7-AE96-B1F7CA7998D5}</x14:id>
        </ext>
      </extLst>
    </cfRule>
  </conditionalFormatting>
  <conditionalFormatting sqref="C27:C32">
    <cfRule type="dataBar" priority="3">
      <dataBar showValue="1" minLength="10" maxLength="90">
        <cfvo type="num" val="0"/>
        <cfvo type="max" val="0"/>
        <color rgb="FFA9D18E"/>
      </dataBar>
      <extLst>
        <ext xmlns:x14="http://schemas.microsoft.com/office/spreadsheetml/2009/9/main" uri="{B025F937-C7B1-47D3-B67F-A62EFF666E3E}">
          <x14:id>{55C2BEF7-2CFA-42D4-9C1E-2C3831F410A5}</x14:id>
        </ext>
      </extLst>
    </cfRule>
  </conditionalFormatting>
  <dataValidations count="2">
    <dataValidation allowBlank="false" errorStyle="stop" operator="between" showDropDown="false" showErrorMessage="false" showInputMessage="false" sqref="B4" type="list">
      <formula1>Pricing!$A$12:$A$14</formula1>
      <formula2>0</formula2>
    </dataValidation>
    <dataValidation allowBlank="false" errorStyle="stop" operator="between" showDropDown="false" showErrorMessage="false" showInputMessage="false" sqref="B6" type="list">
      <formula1>Pricing!$A$18:$A$23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139DF4-28D5-41B7-AE96-B1F7CA7998D5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55C2BEF7-2CFA-42D4-9C1E-2C3831F410A5}">
            <x14:dataBar minLength="10" maxLength="90" axisPosition="none" gradient="true">
              <x14:cfvo type="num">
                <xm:f>0</xm:f>
              </x14:cfvo>
              <x14:cfvo type="max"/>
              <x14:negativeFillColor rgb="FFA9D18E"/>
              <x14:axisColor rgb="FF000000"/>
            </x14:dataBar>
          </x14:cfRule>
          <xm:sqref>C27:C32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2026-10-29T18:17:39Z</dcterms:created>
  <dc:creator>openpyxl</dc:creator>
  <dc:description/>
  <dc:language>en-US</dc:language>
  <cp:lastModifiedBy/>
  <dcterms:modified xsi:type="dcterms:W3CDTF">2026-10-29T18:17:40Z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